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 quontitafif fondation" sheetId="1" state="visible" r:id="rId1"/>
    <sheet xmlns:r="http://schemas.openxmlformats.org/officeDocument/2006/relationships" name="Armat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4"/>
    </font>
    <font>
      <name val="Calibri"/>
      <b val="1"/>
      <sz val="11"/>
    </font>
    <font>
      <name val="Calibri"/>
      <b val="1"/>
      <color rgb="00FFFFFF"/>
      <sz val="11"/>
    </font>
    <font>
      <name val="Calibri"/>
      <i val="1"/>
      <color rgb="00555555"/>
      <sz val="10"/>
    </font>
    <font>
      <name val="Calibri"/>
      <i val="1"/>
      <color rgb="000000AA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right" vertical="center"/>
    </xf>
    <xf numFmtId="0" fontId="7" fillId="4" borderId="1" pivotButton="0" quotePrefix="0" xfId="0"/>
    <xf numFmtId="0" fontId="7" fillId="4" borderId="1" applyAlignment="1" pivotButton="0" quotePrefix="0" xfId="0">
      <alignment horizontal="right" vertical="center"/>
    </xf>
    <xf numFmtId="0" fontId="4" fillId="2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6" customWidth="1" min="3" max="3"/>
    <col width="6" customWidth="1" min="4" max="4"/>
    <col width="5" customWidth="1" min="5" max="5"/>
    <col width="5" customWidth="1" min="6" max="6"/>
    <col width="10" customWidth="1" min="7" max="7"/>
    <col width="10" customWidth="1" min="8" max="8"/>
    <col width="14" customWidth="1" min="9" max="9"/>
    <col width="12" customWidth="1" min="10" max="10"/>
    <col width="14" customWidth="1" min="11" max="11"/>
  </cols>
  <sheetData>
    <row r="1">
      <c r="A1" s="1" t="inlineStr">
        <is>
          <t xml:space="preserve"> AO N° : </t>
        </is>
      </c>
    </row>
    <row r="4">
      <c r="C4" s="2" t="inlineStr">
        <is>
          <t>Projet Générique</t>
        </is>
      </c>
    </row>
    <row r="5">
      <c r="E5" s="3" t="inlineStr">
        <is>
          <t>Détail Quantitatif Métré</t>
        </is>
      </c>
    </row>
    <row r="6">
      <c r="A6" s="4" t="inlineStr">
        <is>
          <t>N°</t>
        </is>
      </c>
      <c r="B6" s="4" t="inlineStr">
        <is>
          <t>Désignation, détail de calcul, croquis, principe et justificatif</t>
        </is>
      </c>
      <c r="C6" s="4" t="inlineStr">
        <is>
          <t>Axe</t>
        </is>
      </c>
      <c r="D6" s="4" t="inlineStr">
        <is>
          <t>File</t>
        </is>
      </c>
      <c r="E6" s="4" t="inlineStr">
        <is>
          <t>U</t>
        </is>
      </c>
      <c r="F6" s="4" t="inlineStr">
        <is>
          <t>N</t>
        </is>
      </c>
      <c r="G6" s="4" t="inlineStr">
        <is>
          <t>Longueur</t>
        </is>
      </c>
      <c r="H6" s="4" t="inlineStr">
        <is>
          <t>Largeur</t>
        </is>
      </c>
      <c r="I6" s="4" t="inlineStr">
        <is>
          <t>Hauteur / épaisseur</t>
        </is>
      </c>
      <c r="J6" s="4" t="inlineStr">
        <is>
          <t>Qté partielle</t>
        </is>
      </c>
      <c r="K6" s="4" t="inlineStr">
        <is>
          <t>Qté Total des Métrés</t>
        </is>
      </c>
    </row>
    <row r="8">
      <c r="A8" s="5" t="inlineStr">
        <is>
          <t>B-   GROS ŒUVRES et maconnerie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3" t="n">
        <v>3</v>
      </c>
      <c r="B9" s="1" t="inlineStr">
        <is>
          <t>Terrassement en fouilles, en tranchées ou en plein masse y compris décapage de la terre végétale</t>
        </is>
      </c>
    </row>
    <row r="10">
      <c r="B10" s="7" t="inlineStr">
        <is>
          <t>axe</t>
        </is>
      </c>
      <c r="C10" s="7" t="inlineStr">
        <is>
          <t>fill</t>
        </is>
      </c>
    </row>
    <row r="11">
      <c r="A11" s="8" t="n"/>
      <c r="B11" s="8" t="inlineStr">
        <is>
          <t>A</t>
        </is>
      </c>
      <c r="C11" s="8" t="inlineStr">
        <is>
          <t>1</t>
        </is>
      </c>
      <c r="D11" s="9" t="n"/>
      <c r="E11" s="9" t="inlineStr">
        <is>
          <t>M3</t>
        </is>
      </c>
      <c r="F11" s="9" t="n">
        <v>1</v>
      </c>
      <c r="G11" s="9" t="n">
        <v>1.6</v>
      </c>
      <c r="H11" s="9" t="n">
        <v>1.6</v>
      </c>
      <c r="I11" s="9" t="n">
        <v>1.5</v>
      </c>
      <c r="J11" s="9">
        <f>F11*G11*H11*I11</f>
        <v/>
      </c>
      <c r="K11" s="9" t="n"/>
    </row>
    <row r="12">
      <c r="A12" s="8" t="n"/>
      <c r="B12" s="8" t="inlineStr">
        <is>
          <t>A</t>
        </is>
      </c>
      <c r="C12" s="8" t="inlineStr">
        <is>
          <t>3</t>
        </is>
      </c>
      <c r="D12" s="9" t="n"/>
      <c r="E12" s="9" t="inlineStr">
        <is>
          <t>M3</t>
        </is>
      </c>
      <c r="F12" s="9" t="n">
        <v>1</v>
      </c>
      <c r="G12" s="9" t="n">
        <v>1.6</v>
      </c>
      <c r="H12" s="9" t="n">
        <v>1.6</v>
      </c>
      <c r="I12" s="9" t="n">
        <v>1.5</v>
      </c>
      <c r="J12" s="9">
        <f>F12*G12*H12*I12</f>
        <v/>
      </c>
      <c r="K12" s="9" t="n"/>
    </row>
    <row r="13">
      <c r="A13" s="8" t="n"/>
      <c r="B13" s="8" t="inlineStr">
        <is>
          <t>C</t>
        </is>
      </c>
      <c r="C13" s="8" t="inlineStr">
        <is>
          <t>2</t>
        </is>
      </c>
      <c r="D13" s="9" t="n"/>
      <c r="E13" s="9" t="inlineStr">
        <is>
          <t>M3</t>
        </is>
      </c>
      <c r="F13" s="9" t="n">
        <v>1</v>
      </c>
      <c r="G13" s="9" t="n">
        <v>1.9</v>
      </c>
      <c r="H13" s="9" t="n">
        <v>1.9</v>
      </c>
      <c r="I13" s="9" t="n">
        <v>1.5</v>
      </c>
      <c r="J13" s="9">
        <f>F13*G13*H13*I13</f>
        <v/>
      </c>
      <c r="K13" s="9" t="n"/>
    </row>
    <row r="14">
      <c r="A14" s="8" t="n"/>
      <c r="B14" s="8" t="inlineStr">
        <is>
          <t>C</t>
        </is>
      </c>
      <c r="C14" s="8" t="inlineStr">
        <is>
          <t>5</t>
        </is>
      </c>
      <c r="D14" s="9" t="n"/>
      <c r="E14" s="9" t="inlineStr">
        <is>
          <t>M3</t>
        </is>
      </c>
      <c r="F14" s="9" t="n">
        <v>1</v>
      </c>
      <c r="G14" s="9" t="n">
        <v>1.9</v>
      </c>
      <c r="H14" s="9" t="n">
        <v>1.9</v>
      </c>
      <c r="I14" s="9" t="n">
        <v>1.5</v>
      </c>
      <c r="J14" s="9">
        <f>F14*G14*H14*I14</f>
        <v/>
      </c>
      <c r="K14" s="9" t="n"/>
    </row>
    <row r="15">
      <c r="A15" s="8" t="n"/>
      <c r="B15" s="8" t="inlineStr">
        <is>
          <t>E</t>
        </is>
      </c>
      <c r="C15" s="8" t="inlineStr">
        <is>
          <t>1</t>
        </is>
      </c>
      <c r="D15" s="9" t="n"/>
      <c r="E15" s="9" t="inlineStr">
        <is>
          <t>M3</t>
        </is>
      </c>
      <c r="F15" s="9" t="n">
        <v>1</v>
      </c>
      <c r="G15" s="9" t="n">
        <v>1.4</v>
      </c>
      <c r="H15" s="9" t="n">
        <v>1.4</v>
      </c>
      <c r="I15" s="9" t="n">
        <v>1.5</v>
      </c>
      <c r="J15" s="9">
        <f>F15*G15*H15*I15</f>
        <v/>
      </c>
      <c r="K15" s="9" t="n"/>
    </row>
    <row r="16">
      <c r="A16" s="8" t="n"/>
      <c r="B16" s="8" t="inlineStr">
        <is>
          <t>E</t>
        </is>
      </c>
      <c r="C16" s="8" t="inlineStr">
        <is>
          <t>4</t>
        </is>
      </c>
      <c r="D16" s="9" t="n"/>
      <c r="E16" s="9" t="inlineStr">
        <is>
          <t>M3</t>
        </is>
      </c>
      <c r="F16" s="9" t="n">
        <v>1</v>
      </c>
      <c r="G16" s="9" t="n">
        <v>1.4</v>
      </c>
      <c r="H16" s="9" t="n">
        <v>1.4</v>
      </c>
      <c r="I16" s="9" t="n">
        <v>1.5</v>
      </c>
      <c r="J16" s="9">
        <f>F16*G16*H16*I16</f>
        <v/>
      </c>
      <c r="K16" s="9" t="n"/>
    </row>
    <row r="17">
      <c r="A17" s="10" t="inlineStr">
        <is>
          <t>total</t>
        </is>
      </c>
      <c r="B17" s="10" t="n"/>
      <c r="C17" s="10" t="n"/>
      <c r="D17" s="11" t="n"/>
      <c r="E17" s="11" t="n"/>
      <c r="F17" s="11" t="n"/>
      <c r="G17" s="11" t="n"/>
      <c r="H17" s="11" t="n"/>
      <c r="I17" s="11" t="n"/>
      <c r="J17" s="11">
        <f>SUM(J11:J16)</f>
        <v/>
      </c>
      <c r="K17" s="11">
        <f>SUM(K11:K16)</f>
        <v/>
      </c>
    </row>
    <row r="19">
      <c r="A19" s="3" t="n">
        <v>15</v>
      </c>
      <c r="B19" s="3" t="inlineStr">
        <is>
          <t xml:space="preserve"> Béton de propreté </t>
        </is>
      </c>
    </row>
    <row r="20">
      <c r="B20" s="1" t="inlineStr">
        <is>
          <t>pour semelle isolee</t>
        </is>
      </c>
    </row>
    <row r="21">
      <c r="B21" s="7" t="inlineStr">
        <is>
          <t>axe</t>
        </is>
      </c>
      <c r="C21" s="7" t="inlineStr">
        <is>
          <t>fill</t>
        </is>
      </c>
    </row>
    <row r="22">
      <c r="A22" s="8" t="n"/>
      <c r="B22" s="8" t="inlineStr">
        <is>
          <t>A</t>
        </is>
      </c>
      <c r="C22" s="8" t="inlineStr">
        <is>
          <t>1</t>
        </is>
      </c>
      <c r="D22" s="9" t="n"/>
      <c r="E22" s="9" t="inlineStr">
        <is>
          <t>M3</t>
        </is>
      </c>
      <c r="F22" s="9" t="n">
        <v>1</v>
      </c>
      <c r="G22" s="9" t="n">
        <v>1.4</v>
      </c>
      <c r="H22" s="9" t="n">
        <v>1.4</v>
      </c>
      <c r="I22" s="9" t="n">
        <v>0.1</v>
      </c>
      <c r="J22" s="9">
        <f>F22*G22*H22*I22</f>
        <v/>
      </c>
      <c r="K22" s="9" t="n"/>
    </row>
    <row r="23">
      <c r="A23" s="8" t="n"/>
      <c r="B23" s="8" t="inlineStr">
        <is>
          <t>A</t>
        </is>
      </c>
      <c r="C23" s="8" t="inlineStr">
        <is>
          <t>3</t>
        </is>
      </c>
      <c r="D23" s="9" t="n"/>
      <c r="E23" s="9" t="inlineStr">
        <is>
          <t>M3</t>
        </is>
      </c>
      <c r="F23" s="9" t="n">
        <v>1</v>
      </c>
      <c r="G23" s="9" t="n">
        <v>1.4</v>
      </c>
      <c r="H23" s="9" t="n">
        <v>1.4</v>
      </c>
      <c r="I23" s="9" t="n">
        <v>0.1</v>
      </c>
      <c r="J23" s="9">
        <f>F23*G23*H23*I23</f>
        <v/>
      </c>
      <c r="K23" s="9" t="n"/>
    </row>
    <row r="24">
      <c r="A24" s="8" t="n"/>
      <c r="B24" s="8" t="inlineStr">
        <is>
          <t>C</t>
        </is>
      </c>
      <c r="C24" s="8" t="inlineStr">
        <is>
          <t>2</t>
        </is>
      </c>
      <c r="D24" s="9" t="n"/>
      <c r="E24" s="9" t="inlineStr">
        <is>
          <t>M3</t>
        </is>
      </c>
      <c r="F24" s="9" t="n">
        <v>1</v>
      </c>
      <c r="G24" s="9" t="n">
        <v>1.7</v>
      </c>
      <c r="H24" s="9" t="n">
        <v>1.7</v>
      </c>
      <c r="I24" s="9" t="n">
        <v>0.1</v>
      </c>
      <c r="J24" s="9">
        <f>F24*G24*H24*I24</f>
        <v/>
      </c>
      <c r="K24" s="9" t="n"/>
    </row>
    <row r="25">
      <c r="A25" s="8" t="n"/>
      <c r="B25" s="8" t="inlineStr">
        <is>
          <t>C</t>
        </is>
      </c>
      <c r="C25" s="8" t="inlineStr">
        <is>
          <t>5</t>
        </is>
      </c>
      <c r="D25" s="9" t="n"/>
      <c r="E25" s="9" t="inlineStr">
        <is>
          <t>M3</t>
        </is>
      </c>
      <c r="F25" s="9" t="n">
        <v>1</v>
      </c>
      <c r="G25" s="9" t="n">
        <v>1.7</v>
      </c>
      <c r="H25" s="9" t="n">
        <v>1.7</v>
      </c>
      <c r="I25" s="9" t="n">
        <v>0.1</v>
      </c>
      <c r="J25" s="9">
        <f>F25*G25*H25*I25</f>
        <v/>
      </c>
      <c r="K25" s="9" t="n"/>
    </row>
    <row r="26">
      <c r="A26" s="8" t="n"/>
      <c r="B26" s="8" t="inlineStr">
        <is>
          <t>E</t>
        </is>
      </c>
      <c r="C26" s="8" t="inlineStr">
        <is>
          <t>1</t>
        </is>
      </c>
      <c r="D26" s="9" t="n"/>
      <c r="E26" s="9" t="inlineStr">
        <is>
          <t>M3</t>
        </is>
      </c>
      <c r="F26" s="9" t="n">
        <v>1</v>
      </c>
      <c r="G26" s="9" t="n">
        <v>1.2</v>
      </c>
      <c r="H26" s="9" t="n">
        <v>1.2</v>
      </c>
      <c r="I26" s="9" t="n">
        <v>0.1</v>
      </c>
      <c r="J26" s="9">
        <f>F26*G26*H26*I26</f>
        <v/>
      </c>
      <c r="K26" s="9" t="n"/>
    </row>
    <row r="27">
      <c r="A27" s="8" t="n"/>
      <c r="B27" s="8" t="inlineStr">
        <is>
          <t>E</t>
        </is>
      </c>
      <c r="C27" s="8" t="inlineStr">
        <is>
          <t>4</t>
        </is>
      </c>
      <c r="D27" s="9" t="n"/>
      <c r="E27" s="9" t="inlineStr">
        <is>
          <t>M3</t>
        </is>
      </c>
      <c r="F27" s="9" t="n">
        <v>1</v>
      </c>
      <c r="G27" s="9" t="n">
        <v>1.2</v>
      </c>
      <c r="H27" s="9" t="n">
        <v>1.2</v>
      </c>
      <c r="I27" s="9" t="n">
        <v>0.1</v>
      </c>
      <c r="J27" s="9">
        <f>F27*G27*H27*I27</f>
        <v/>
      </c>
      <c r="K27" s="9" t="n"/>
    </row>
    <row r="28">
      <c r="A28" s="10" t="inlineStr">
        <is>
          <t>total</t>
        </is>
      </c>
      <c r="B28" s="10" t="n"/>
      <c r="C28" s="10" t="n"/>
      <c r="D28" s="11" t="n"/>
      <c r="E28" s="11" t="n"/>
      <c r="F28" s="11" t="n"/>
      <c r="G28" s="11" t="n"/>
      <c r="H28" s="11" t="n"/>
      <c r="I28" s="11" t="n"/>
      <c r="J28" s="11">
        <f>SUM(J22:J27)</f>
        <v/>
      </c>
      <c r="K28" s="11">
        <f>SUM(K22:K27)</f>
        <v/>
      </c>
    </row>
    <row r="30">
      <c r="A30" s="3" t="n">
        <v>16</v>
      </c>
      <c r="B30" s="3" t="inlineStr">
        <is>
          <t xml:space="preserve"> Béton pour béton armé en fondation calculé en M3</t>
        </is>
      </c>
    </row>
    <row r="31">
      <c r="B31" s="1" t="inlineStr">
        <is>
          <t>pour semelle isolee</t>
        </is>
      </c>
    </row>
    <row r="32">
      <c r="B32" s="7" t="inlineStr">
        <is>
          <t>axe</t>
        </is>
      </c>
      <c r="C32" s="7" t="inlineStr">
        <is>
          <t>fill</t>
        </is>
      </c>
    </row>
    <row r="33">
      <c r="A33" s="8" t="n"/>
      <c r="B33" s="8" t="inlineStr">
        <is>
          <t>A</t>
        </is>
      </c>
      <c r="C33" s="8" t="inlineStr">
        <is>
          <t>1</t>
        </is>
      </c>
      <c r="D33" s="9" t="n"/>
      <c r="E33" s="9" t="inlineStr">
        <is>
          <t>M3</t>
        </is>
      </c>
      <c r="F33" s="9" t="n">
        <v>1</v>
      </c>
      <c r="G33" s="9" t="n">
        <v>1.2</v>
      </c>
      <c r="H33" s="9" t="n">
        <v>1.2</v>
      </c>
      <c r="I33" s="9" t="n">
        <v>0.3</v>
      </c>
      <c r="J33" s="9">
        <f>F33*G33*H33*I33</f>
        <v/>
      </c>
      <c r="K33" s="9" t="n"/>
    </row>
    <row r="34">
      <c r="A34" s="8" t="n"/>
      <c r="B34" s="8" t="inlineStr">
        <is>
          <t>A</t>
        </is>
      </c>
      <c r="C34" s="8" t="inlineStr">
        <is>
          <t>3</t>
        </is>
      </c>
      <c r="D34" s="9" t="n"/>
      <c r="E34" s="9" t="inlineStr">
        <is>
          <t>M3</t>
        </is>
      </c>
      <c r="F34" s="9" t="n">
        <v>1</v>
      </c>
      <c r="G34" s="9" t="n">
        <v>1.2</v>
      </c>
      <c r="H34" s="9" t="n">
        <v>1.2</v>
      </c>
      <c r="I34" s="9" t="n">
        <v>0.3</v>
      </c>
      <c r="J34" s="9">
        <f>F34*G34*H34*I34</f>
        <v/>
      </c>
      <c r="K34" s="9" t="n"/>
    </row>
    <row r="35">
      <c r="A35" s="8" t="n"/>
      <c r="B35" s="8" t="inlineStr">
        <is>
          <t>C</t>
        </is>
      </c>
      <c r="C35" s="8" t="inlineStr">
        <is>
          <t>2</t>
        </is>
      </c>
      <c r="D35" s="9" t="n"/>
      <c r="E35" s="9" t="inlineStr">
        <is>
          <t>M3</t>
        </is>
      </c>
      <c r="F35" s="9" t="n">
        <v>1</v>
      </c>
      <c r="G35" s="9" t="n">
        <v>1.5</v>
      </c>
      <c r="H35" s="9" t="n">
        <v>1.5</v>
      </c>
      <c r="I35" s="9" t="n">
        <v>0.4</v>
      </c>
      <c r="J35" s="9">
        <f>F35*G35*H35*I35</f>
        <v/>
      </c>
      <c r="K35" s="9" t="n"/>
    </row>
    <row r="36">
      <c r="A36" s="8" t="n"/>
      <c r="B36" s="8" t="inlineStr">
        <is>
          <t>C</t>
        </is>
      </c>
      <c r="C36" s="8" t="inlineStr">
        <is>
          <t>5</t>
        </is>
      </c>
      <c r="D36" s="9" t="n"/>
      <c r="E36" s="9" t="inlineStr">
        <is>
          <t>M3</t>
        </is>
      </c>
      <c r="F36" s="9" t="n">
        <v>1</v>
      </c>
      <c r="G36" s="9" t="n">
        <v>1.5</v>
      </c>
      <c r="H36" s="9" t="n">
        <v>1.5</v>
      </c>
      <c r="I36" s="9" t="n">
        <v>0.4</v>
      </c>
      <c r="J36" s="9">
        <f>F36*G36*H36*I36</f>
        <v/>
      </c>
      <c r="K36" s="9" t="n"/>
    </row>
    <row r="37">
      <c r="A37" s="8" t="n"/>
      <c r="B37" s="8" t="inlineStr">
        <is>
          <t>E</t>
        </is>
      </c>
      <c r="C37" s="8" t="inlineStr">
        <is>
          <t>1</t>
        </is>
      </c>
      <c r="D37" s="9" t="n"/>
      <c r="E37" s="9" t="inlineStr">
        <is>
          <t>M3</t>
        </is>
      </c>
      <c r="F37" s="9" t="n">
        <v>1</v>
      </c>
      <c r="G37" s="9" t="n">
        <v>1</v>
      </c>
      <c r="H37" s="9" t="n">
        <v>1</v>
      </c>
      <c r="I37" s="9" t="n">
        <v>0.25</v>
      </c>
      <c r="J37" s="9">
        <f>F37*G37*H37*I37</f>
        <v/>
      </c>
      <c r="K37" s="9" t="n"/>
    </row>
    <row r="38">
      <c r="A38" s="8" t="n"/>
      <c r="B38" s="8" t="inlineStr">
        <is>
          <t>E</t>
        </is>
      </c>
      <c r="C38" s="8" t="inlineStr">
        <is>
          <t>4</t>
        </is>
      </c>
      <c r="D38" s="9" t="n"/>
      <c r="E38" s="9" t="inlineStr">
        <is>
          <t>M3</t>
        </is>
      </c>
      <c r="F38" s="9" t="n">
        <v>1</v>
      </c>
      <c r="G38" s="9" t="n">
        <v>1</v>
      </c>
      <c r="H38" s="9" t="n">
        <v>1</v>
      </c>
      <c r="I38" s="9" t="n">
        <v>0.25</v>
      </c>
      <c r="J38" s="9">
        <f>F38*G38*H38*I38</f>
        <v/>
      </c>
      <c r="K38" s="9" t="n"/>
    </row>
    <row r="39">
      <c r="A39" s="10" t="inlineStr">
        <is>
          <t>total</t>
        </is>
      </c>
      <c r="B39" s="10" t="n"/>
      <c r="C39" s="10" t="n"/>
      <c r="D39" s="11" t="n"/>
      <c r="E39" s="11" t="n"/>
      <c r="F39" s="11" t="n"/>
      <c r="G39" s="11" t="n"/>
      <c r="H39" s="11" t="n"/>
      <c r="I39" s="11" t="n"/>
      <c r="J39" s="11">
        <f>SUM(J33:J38)</f>
        <v/>
      </c>
      <c r="K39" s="11">
        <f>SUM(K33:K38)</f>
        <v/>
      </c>
    </row>
    <row r="41">
      <c r="A41" s="3" t="n">
        <v>20</v>
      </c>
      <c r="B41" s="3" t="inlineStr">
        <is>
          <t xml:space="preserve"> Béton pour fût de poteau en fondation calculé en M3</t>
        </is>
      </c>
    </row>
    <row r="42">
      <c r="B42" s="7" t="inlineStr">
        <is>
          <t>axe</t>
        </is>
      </c>
      <c r="C42" s="7" t="inlineStr">
        <is>
          <t>fill</t>
        </is>
      </c>
    </row>
    <row r="43">
      <c r="A43" s="8" t="n"/>
      <c r="B43" s="8" t="inlineStr">
        <is>
          <t>A</t>
        </is>
      </c>
      <c r="C43" s="8" t="inlineStr">
        <is>
          <t>1</t>
        </is>
      </c>
      <c r="D43" s="9" t="n"/>
      <c r="E43" s="9" t="inlineStr">
        <is>
          <t>M3</t>
        </is>
      </c>
      <c r="F43" s="9" t="n">
        <v>1</v>
      </c>
      <c r="G43" s="9" t="n">
        <v>0.25</v>
      </c>
      <c r="H43" s="9" t="n">
        <v>0.35</v>
      </c>
      <c r="I43" s="9" t="n">
        <v>3</v>
      </c>
      <c r="J43" s="9">
        <f>F43*G43*H43*I43</f>
        <v/>
      </c>
      <c r="K43" s="9" t="n"/>
    </row>
    <row r="44">
      <c r="A44" s="8" t="n"/>
      <c r="B44" s="8" t="inlineStr">
        <is>
          <t>A</t>
        </is>
      </c>
      <c r="C44" s="8" t="inlineStr">
        <is>
          <t>3</t>
        </is>
      </c>
      <c r="D44" s="9" t="n"/>
      <c r="E44" s="9" t="inlineStr">
        <is>
          <t>M3</t>
        </is>
      </c>
      <c r="F44" s="9" t="n">
        <v>1</v>
      </c>
      <c r="G44" s="9" t="n">
        <v>0.25</v>
      </c>
      <c r="H44" s="9" t="n">
        <v>0.35</v>
      </c>
      <c r="I44" s="9" t="n">
        <v>3</v>
      </c>
      <c r="J44" s="9">
        <f>F44*G44*H44*I44</f>
        <v/>
      </c>
      <c r="K44" s="9" t="n"/>
    </row>
    <row r="45">
      <c r="A45" s="8" t="n"/>
      <c r="B45" s="8" t="inlineStr">
        <is>
          <t>C</t>
        </is>
      </c>
      <c r="C45" s="8" t="inlineStr">
        <is>
          <t>2</t>
        </is>
      </c>
      <c r="D45" s="9" t="n"/>
      <c r="E45" s="9" t="inlineStr">
        <is>
          <t>M3</t>
        </is>
      </c>
      <c r="F45" s="9" t="n">
        <v>1</v>
      </c>
      <c r="G45" s="9" t="n">
        <v>0.4</v>
      </c>
      <c r="H45" s="9" t="n">
        <v>0.4</v>
      </c>
      <c r="I45" s="9" t="n">
        <v>3.5</v>
      </c>
      <c r="J45" s="9">
        <f>F45*G45*H45*I45</f>
        <v/>
      </c>
      <c r="K45" s="9" t="n"/>
    </row>
    <row r="46">
      <c r="A46" s="8" t="n"/>
      <c r="B46" s="8" t="inlineStr">
        <is>
          <t>C</t>
        </is>
      </c>
      <c r="C46" s="8" t="inlineStr">
        <is>
          <t>5</t>
        </is>
      </c>
      <c r="D46" s="9" t="n"/>
      <c r="E46" s="9" t="inlineStr">
        <is>
          <t>M3</t>
        </is>
      </c>
      <c r="F46" s="9" t="n">
        <v>1</v>
      </c>
      <c r="G46" s="9" t="n">
        <v>0.4</v>
      </c>
      <c r="H46" s="9" t="n">
        <v>0.4</v>
      </c>
      <c r="I46" s="9" t="n">
        <v>3.5</v>
      </c>
      <c r="J46" s="9">
        <f>F46*G46*H46*I46</f>
        <v/>
      </c>
      <c r="K46" s="9" t="n"/>
    </row>
    <row r="47">
      <c r="A47" s="10" t="inlineStr">
        <is>
          <t>total</t>
        </is>
      </c>
      <c r="B47" s="10" t="n"/>
      <c r="C47" s="10" t="n"/>
      <c r="D47" s="11" t="n"/>
      <c r="E47" s="11" t="n"/>
      <c r="F47" s="11" t="n"/>
      <c r="G47" s="11" t="n"/>
      <c r="H47" s="11" t="n"/>
      <c r="I47" s="11" t="n"/>
      <c r="J47" s="11">
        <f>SUM(J43:J46)</f>
        <v/>
      </c>
      <c r="K47" s="11">
        <f>SUM(K43:K46)</f>
        <v/>
      </c>
    </row>
  </sheetData>
  <mergeCells count="4">
    <mergeCell ref="E5:K5"/>
    <mergeCell ref="C4:K4"/>
    <mergeCell ref="A1:K1"/>
    <mergeCell ref="A8:K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4" t="inlineStr">
        <is>
          <t>O U V R A G E S</t>
        </is>
      </c>
      <c r="B1" s="4" t="inlineStr">
        <is>
          <t>Axe</t>
        </is>
      </c>
      <c r="C1" s="4" t="inlineStr">
        <is>
          <t>File</t>
        </is>
      </c>
      <c r="D1" s="4" t="inlineStr">
        <is>
          <t>a</t>
        </is>
      </c>
      <c r="E1" s="4" t="inlineStr">
        <is>
          <t>b</t>
        </is>
      </c>
      <c r="F1" s="4" t="inlineStr">
        <is>
          <t>h</t>
        </is>
      </c>
      <c r="G1" s="4" t="inlineStr">
        <is>
          <t>N° ELE</t>
        </is>
      </c>
      <c r="H1" s="4" t="inlineStr">
        <is>
          <t>NOMB B</t>
        </is>
      </c>
      <c r="I1" s="4" t="inlineStr">
        <is>
          <t>DIAM</t>
        </is>
      </c>
      <c r="J1" s="4" t="inlineStr">
        <is>
          <t>LONG</t>
        </is>
      </c>
      <c r="K1" s="12" t="inlineStr">
        <is>
          <t>A C I E R    T O R</t>
        </is>
      </c>
      <c r="L1" s="13" t="n"/>
      <c r="M1" s="13" t="n"/>
      <c r="N1" s="13" t="n"/>
      <c r="O1" s="13" t="n"/>
    </row>
    <row r="2">
      <c r="A2" s="12" t="inlineStr">
        <is>
          <t>A C I E R    T O R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4" t="inlineStr">
        <is>
          <t>T 6</t>
        </is>
      </c>
      <c r="L2" s="4" t="inlineStr">
        <is>
          <t>T 8</t>
        </is>
      </c>
      <c r="M2" s="4" t="inlineStr">
        <is>
          <t>T 12</t>
        </is>
      </c>
      <c r="N2" s="4" t="inlineStr">
        <is>
          <t>T 14</t>
        </is>
      </c>
      <c r="O2" s="4" t="inlineStr">
        <is>
          <t>T 16</t>
        </is>
      </c>
    </row>
    <row r="3">
      <c r="A3" s="3" t="n">
        <v>21</v>
      </c>
      <c r="B3" s="1" t="inlineStr">
        <is>
          <t xml:space="preserve">Armature pour béton armé en fondation et en élévation </t>
        </is>
      </c>
    </row>
    <row r="4">
      <c r="A4" s="3" t="inlineStr">
        <is>
          <t>semelle isolee</t>
        </is>
      </c>
    </row>
    <row r="5">
      <c r="B5" s="7" t="inlineStr">
        <is>
          <t>axe</t>
        </is>
      </c>
      <c r="C5" s="7" t="inlineStr">
        <is>
          <t>fill</t>
        </is>
      </c>
    </row>
    <row r="6">
      <c r="A6" s="8" t="inlineStr">
        <is>
          <t>S101</t>
        </is>
      </c>
      <c r="B6" s="8" t="inlineStr">
        <is>
          <t>A</t>
        </is>
      </c>
      <c r="C6" s="8" t="inlineStr">
        <is>
          <t>1</t>
        </is>
      </c>
      <c r="D6" s="9" t="n">
        <v>1.2</v>
      </c>
      <c r="E6" s="9" t="n">
        <v>1.2</v>
      </c>
      <c r="F6" s="9" t="n">
        <v>0.3</v>
      </c>
      <c r="G6" s="9" t="n"/>
      <c r="H6" s="9" t="n"/>
      <c r="I6" s="9" t="n"/>
      <c r="J6" s="9" t="n"/>
      <c r="K6" s="9">
        <f>IF($I6=6,$G6*$H6*$J6,"")</f>
        <v/>
      </c>
      <c r="L6" s="9">
        <f>IF($I6=8,$G6*$H6*$J6,"")</f>
        <v/>
      </c>
      <c r="M6" s="9">
        <f>IF($I6=12,$G6*$H6*$J6,"")</f>
        <v/>
      </c>
      <c r="N6" s="9">
        <f>IF($I6=14,$G6*$H6*$J6,"")</f>
        <v/>
      </c>
      <c r="O6" s="9">
        <f>IF($I6=16,$G6*$H6*$J6,"")</f>
        <v/>
      </c>
    </row>
    <row r="7">
      <c r="A7" s="8" t="inlineStr">
        <is>
          <t>Armature INF X</t>
        </is>
      </c>
      <c r="B7" s="8" t="n"/>
      <c r="C7" s="8" t="n"/>
      <c r="D7" s="9" t="n"/>
      <c r="E7" s="9" t="n"/>
      <c r="F7" s="9" t="n"/>
      <c r="G7" s="9" t="n">
        <v>1</v>
      </c>
      <c r="H7" s="9" t="n">
        <v>8</v>
      </c>
      <c r="I7" s="9" t="n">
        <v>12</v>
      </c>
      <c r="J7" s="9">
        <f>(E6-0.05)+34*I7/1000</f>
        <v/>
      </c>
      <c r="K7" s="9">
        <f>IF($I7=6,$G7*$H7*$J7,"")</f>
        <v/>
      </c>
      <c r="L7" s="9">
        <f>IF($I7=8,$G7*$H7*$J7,"")</f>
        <v/>
      </c>
      <c r="M7" s="9">
        <f>IF($I7=12,$G7*$H7*$J7,"")</f>
        <v/>
      </c>
      <c r="N7" s="9">
        <f>IF($I7=14,$G7*$H7*$J7,"")</f>
        <v/>
      </c>
      <c r="O7" s="9">
        <f>IF($I7=16,$G7*$H7*$J7,"")</f>
        <v/>
      </c>
    </row>
    <row r="8">
      <c r="A8" s="8" t="inlineStr">
        <is>
          <t>Armature INF Y</t>
        </is>
      </c>
      <c r="B8" s="8" t="n"/>
      <c r="C8" s="8" t="n"/>
      <c r="D8" s="9" t="n"/>
      <c r="E8" s="9" t="n"/>
      <c r="F8" s="9" t="n"/>
      <c r="G8" s="9" t="n">
        <v>1</v>
      </c>
      <c r="H8" s="9" t="n">
        <v>8</v>
      </c>
      <c r="I8" s="9" t="n">
        <v>12</v>
      </c>
      <c r="J8" s="9">
        <f>(D6-0.05)+34*I8/1000</f>
        <v/>
      </c>
      <c r="K8" s="9">
        <f>IF($I8=6,$G8*$H8*$J8,"")</f>
        <v/>
      </c>
      <c r="L8" s="9">
        <f>IF($I8=8,$G8*$H8*$J8,"")</f>
        <v/>
      </c>
      <c r="M8" s="9">
        <f>IF($I8=12,$G8*$H8*$J8,"")</f>
        <v/>
      </c>
      <c r="N8" s="9">
        <f>IF($I8=14,$G8*$H8*$J8,"")</f>
        <v/>
      </c>
      <c r="O8" s="9">
        <f>IF($I8=16,$G8*$H8*$J8,"")</f>
        <v/>
      </c>
    </row>
    <row r="9">
      <c r="A9" s="8" t="inlineStr">
        <is>
          <t>S102</t>
        </is>
      </c>
      <c r="B9" s="8" t="inlineStr">
        <is>
          <t>A</t>
        </is>
      </c>
      <c r="C9" s="8" t="inlineStr">
        <is>
          <t>3</t>
        </is>
      </c>
      <c r="D9" s="9" t="n">
        <v>1.2</v>
      </c>
      <c r="E9" s="9" t="n">
        <v>1.2</v>
      </c>
      <c r="F9" s="9" t="n">
        <v>0.3</v>
      </c>
      <c r="G9" s="9" t="n"/>
      <c r="H9" s="9" t="n"/>
      <c r="I9" s="9" t="n"/>
      <c r="J9" s="9" t="n"/>
      <c r="K9" s="9">
        <f>IF($I9=6,$G9*$H9*$J9,"")</f>
        <v/>
      </c>
      <c r="L9" s="9">
        <f>IF($I9=8,$G9*$H9*$J9,"")</f>
        <v/>
      </c>
      <c r="M9" s="9">
        <f>IF($I9=12,$G9*$H9*$J9,"")</f>
        <v/>
      </c>
      <c r="N9" s="9">
        <f>IF($I9=14,$G9*$H9*$J9,"")</f>
        <v/>
      </c>
      <c r="O9" s="9">
        <f>IF($I9=16,$G9*$H9*$J9,"")</f>
        <v/>
      </c>
    </row>
    <row r="10">
      <c r="A10" s="8" t="inlineStr">
        <is>
          <t>Armature INF X</t>
        </is>
      </c>
      <c r="B10" s="8" t="n"/>
      <c r="C10" s="8" t="n"/>
      <c r="D10" s="9" t="n"/>
      <c r="E10" s="9" t="n"/>
      <c r="F10" s="9" t="n"/>
      <c r="G10" s="9" t="n">
        <v>1</v>
      </c>
      <c r="H10" s="9" t="n">
        <v>8</v>
      </c>
      <c r="I10" s="9" t="n">
        <v>12</v>
      </c>
      <c r="J10" s="9">
        <f>(E9-0.05)+34*I10/1000</f>
        <v/>
      </c>
      <c r="K10" s="9">
        <f>IF($I10=6,$G10*$H10*$J10,"")</f>
        <v/>
      </c>
      <c r="L10" s="9">
        <f>IF($I10=8,$G10*$H10*$J10,"")</f>
        <v/>
      </c>
      <c r="M10" s="9">
        <f>IF($I10=12,$G10*$H10*$J10,"")</f>
        <v/>
      </c>
      <c r="N10" s="9">
        <f>IF($I10=14,$G10*$H10*$J10,"")</f>
        <v/>
      </c>
      <c r="O10" s="9">
        <f>IF($I10=16,$G10*$H10*$J10,"")</f>
        <v/>
      </c>
    </row>
    <row r="11">
      <c r="A11" s="8" t="inlineStr">
        <is>
          <t>Armature INF Y</t>
        </is>
      </c>
      <c r="B11" s="8" t="n"/>
      <c r="C11" s="8" t="n"/>
      <c r="D11" s="9" t="n"/>
      <c r="E11" s="9" t="n"/>
      <c r="F11" s="9" t="n"/>
      <c r="G11" s="9" t="n">
        <v>1</v>
      </c>
      <c r="H11" s="9" t="n">
        <v>8</v>
      </c>
      <c r="I11" s="9" t="n">
        <v>12</v>
      </c>
      <c r="J11" s="9">
        <f>(D9-0.05)+34*I11/1000</f>
        <v/>
      </c>
      <c r="K11" s="9">
        <f>IF($I11=6,$G11*$H11*$J11,"")</f>
        <v/>
      </c>
      <c r="L11" s="9">
        <f>IF($I11=8,$G11*$H11*$J11,"")</f>
        <v/>
      </c>
      <c r="M11" s="9">
        <f>IF($I11=12,$G11*$H11*$J11,"")</f>
        <v/>
      </c>
      <c r="N11" s="9">
        <f>IF($I11=14,$G11*$H11*$J11,"")</f>
        <v/>
      </c>
      <c r="O11" s="9">
        <f>IF($I11=16,$G11*$H11*$J11,"")</f>
        <v/>
      </c>
    </row>
    <row r="12">
      <c r="A12" s="8" t="inlineStr">
        <is>
          <t>S103</t>
        </is>
      </c>
      <c r="B12" s="8" t="inlineStr">
        <is>
          <t>C</t>
        </is>
      </c>
      <c r="C12" s="8" t="inlineStr">
        <is>
          <t>2</t>
        </is>
      </c>
      <c r="D12" s="9" t="n">
        <v>1.5</v>
      </c>
      <c r="E12" s="9" t="n">
        <v>1.5</v>
      </c>
      <c r="F12" s="9" t="n">
        <v>0.4</v>
      </c>
      <c r="G12" s="9" t="n"/>
      <c r="H12" s="9" t="n"/>
      <c r="I12" s="9" t="n"/>
      <c r="J12" s="9" t="n"/>
      <c r="K12" s="9">
        <f>IF($I12=6,$G12*$H12*$J12,"")</f>
        <v/>
      </c>
      <c r="L12" s="9">
        <f>IF($I12=8,$G12*$H12*$J12,"")</f>
        <v/>
      </c>
      <c r="M12" s="9">
        <f>IF($I12=12,$G12*$H12*$J12,"")</f>
        <v/>
      </c>
      <c r="N12" s="9">
        <f>IF($I12=14,$G12*$H12*$J12,"")</f>
        <v/>
      </c>
      <c r="O12" s="9">
        <f>IF($I12=16,$G12*$H12*$J12,"")</f>
        <v/>
      </c>
    </row>
    <row r="13">
      <c r="A13" s="8" t="inlineStr">
        <is>
          <t>Armature INF X</t>
        </is>
      </c>
      <c r="B13" s="8" t="n"/>
      <c r="C13" s="8" t="n"/>
      <c r="D13" s="9" t="n"/>
      <c r="E13" s="9" t="n"/>
      <c r="F13" s="9" t="n"/>
      <c r="G13" s="9" t="n">
        <v>1</v>
      </c>
      <c r="H13" s="9" t="n">
        <v>11</v>
      </c>
      <c r="I13" s="9" t="n">
        <v>12</v>
      </c>
      <c r="J13" s="9">
        <f>(E12-0.05)+34*I13/1000</f>
        <v/>
      </c>
      <c r="K13" s="9">
        <f>IF($I13=6,$G13*$H13*$J13,"")</f>
        <v/>
      </c>
      <c r="L13" s="9">
        <f>IF($I13=8,$G13*$H13*$J13,"")</f>
        <v/>
      </c>
      <c r="M13" s="9">
        <f>IF($I13=12,$G13*$H13*$J13,"")</f>
        <v/>
      </c>
      <c r="N13" s="9">
        <f>IF($I13=14,$G13*$H13*$J13,"")</f>
        <v/>
      </c>
      <c r="O13" s="9">
        <f>IF($I13=16,$G13*$H13*$J13,"")</f>
        <v/>
      </c>
    </row>
    <row r="14">
      <c r="A14" s="8" t="inlineStr">
        <is>
          <t>Armature INF Y</t>
        </is>
      </c>
      <c r="B14" s="8" t="n"/>
      <c r="C14" s="8" t="n"/>
      <c r="D14" s="9" t="n"/>
      <c r="E14" s="9" t="n"/>
      <c r="F14" s="9" t="n"/>
      <c r="G14" s="9" t="n">
        <v>1</v>
      </c>
      <c r="H14" s="9" t="n">
        <v>11</v>
      </c>
      <c r="I14" s="9" t="n">
        <v>12</v>
      </c>
      <c r="J14" s="9">
        <f>(D12-0.05)+34*I14/1000</f>
        <v/>
      </c>
      <c r="K14" s="9">
        <f>IF($I14=6,$G14*$H14*$J14,"")</f>
        <v/>
      </c>
      <c r="L14" s="9">
        <f>IF($I14=8,$G14*$H14*$J14,"")</f>
        <v/>
      </c>
      <c r="M14" s="9">
        <f>IF($I14=12,$G14*$H14*$J14,"")</f>
        <v/>
      </c>
      <c r="N14" s="9">
        <f>IF($I14=14,$G14*$H14*$J14,"")</f>
        <v/>
      </c>
      <c r="O14" s="9">
        <f>IF($I14=16,$G14*$H14*$J14,"")</f>
        <v/>
      </c>
    </row>
    <row r="15">
      <c r="A15" s="8" t="inlineStr">
        <is>
          <t>S104</t>
        </is>
      </c>
      <c r="B15" s="8" t="inlineStr">
        <is>
          <t>C</t>
        </is>
      </c>
      <c r="C15" s="8" t="inlineStr">
        <is>
          <t>5</t>
        </is>
      </c>
      <c r="D15" s="9" t="n">
        <v>1.5</v>
      </c>
      <c r="E15" s="9" t="n">
        <v>1.5</v>
      </c>
      <c r="F15" s="9" t="n">
        <v>0.4</v>
      </c>
      <c r="G15" s="9" t="n"/>
      <c r="H15" s="9" t="n"/>
      <c r="I15" s="9" t="n"/>
      <c r="J15" s="9" t="n"/>
      <c r="K15" s="9">
        <f>IF($I15=6,$G15*$H15*$J15,"")</f>
        <v/>
      </c>
      <c r="L15" s="9">
        <f>IF($I15=8,$G15*$H15*$J15,"")</f>
        <v/>
      </c>
      <c r="M15" s="9">
        <f>IF($I15=12,$G15*$H15*$J15,"")</f>
        <v/>
      </c>
      <c r="N15" s="9">
        <f>IF($I15=14,$G15*$H15*$J15,"")</f>
        <v/>
      </c>
      <c r="O15" s="9">
        <f>IF($I15=16,$G15*$H15*$J15,"")</f>
        <v/>
      </c>
    </row>
    <row r="16">
      <c r="A16" s="8" t="inlineStr">
        <is>
          <t>Armature INF X</t>
        </is>
      </c>
      <c r="B16" s="8" t="n"/>
      <c r="C16" s="8" t="n"/>
      <c r="D16" s="9" t="n"/>
      <c r="E16" s="9" t="n"/>
      <c r="F16" s="9" t="n"/>
      <c r="G16" s="9" t="n">
        <v>1</v>
      </c>
      <c r="H16" s="9" t="n">
        <v>11</v>
      </c>
      <c r="I16" s="9" t="n">
        <v>12</v>
      </c>
      <c r="J16" s="9">
        <f>(E15-0.05)+34*I16/1000</f>
        <v/>
      </c>
      <c r="K16" s="9">
        <f>IF($I16=6,$G16*$H16*$J16,"")</f>
        <v/>
      </c>
      <c r="L16" s="9">
        <f>IF($I16=8,$G16*$H16*$J16,"")</f>
        <v/>
      </c>
      <c r="M16" s="9">
        <f>IF($I16=12,$G16*$H16*$J16,"")</f>
        <v/>
      </c>
      <c r="N16" s="9">
        <f>IF($I16=14,$G16*$H16*$J16,"")</f>
        <v/>
      </c>
      <c r="O16" s="9">
        <f>IF($I16=16,$G16*$H16*$J16,"")</f>
        <v/>
      </c>
    </row>
    <row r="17">
      <c r="A17" s="8" t="inlineStr">
        <is>
          <t>Armature INF Y</t>
        </is>
      </c>
      <c r="B17" s="8" t="n"/>
      <c r="C17" s="8" t="n"/>
      <c r="D17" s="9" t="n"/>
      <c r="E17" s="9" t="n"/>
      <c r="F17" s="9" t="n"/>
      <c r="G17" s="9" t="n">
        <v>1</v>
      </c>
      <c r="H17" s="9" t="n">
        <v>11</v>
      </c>
      <c r="I17" s="9" t="n">
        <v>12</v>
      </c>
      <c r="J17" s="9">
        <f>(D15-0.05)+34*I17/1000</f>
        <v/>
      </c>
      <c r="K17" s="9">
        <f>IF($I17=6,$G17*$H17*$J17,"")</f>
        <v/>
      </c>
      <c r="L17" s="9">
        <f>IF($I17=8,$G17*$H17*$J17,"")</f>
        <v/>
      </c>
      <c r="M17" s="9">
        <f>IF($I17=12,$G17*$H17*$J17,"")</f>
        <v/>
      </c>
      <c r="N17" s="9">
        <f>IF($I17=14,$G17*$H17*$J17,"")</f>
        <v/>
      </c>
      <c r="O17" s="9">
        <f>IF($I17=16,$G17*$H17*$J17,"")</f>
        <v/>
      </c>
    </row>
    <row r="18">
      <c r="A18" s="8" t="inlineStr">
        <is>
          <t>S105</t>
        </is>
      </c>
      <c r="B18" s="8" t="inlineStr">
        <is>
          <t>E</t>
        </is>
      </c>
      <c r="C18" s="8" t="inlineStr">
        <is>
          <t>1</t>
        </is>
      </c>
      <c r="D18" s="9" t="n">
        <v>1</v>
      </c>
      <c r="E18" s="9" t="n">
        <v>1</v>
      </c>
      <c r="F18" s="9" t="n">
        <v>0.25</v>
      </c>
      <c r="G18" s="9" t="n"/>
      <c r="H18" s="9" t="n"/>
      <c r="I18" s="9" t="n"/>
      <c r="J18" s="9" t="n"/>
      <c r="K18" s="9">
        <f>IF($I18=6,$G18*$H18*$J18,"")</f>
        <v/>
      </c>
      <c r="L18" s="9">
        <f>IF($I18=8,$G18*$H18*$J18,"")</f>
        <v/>
      </c>
      <c r="M18" s="9">
        <f>IF($I18=12,$G18*$H18*$J18,"")</f>
        <v/>
      </c>
      <c r="N18" s="9">
        <f>IF($I18=14,$G18*$H18*$J18,"")</f>
        <v/>
      </c>
      <c r="O18" s="9">
        <f>IF($I18=16,$G18*$H18*$J18,"")</f>
        <v/>
      </c>
    </row>
    <row r="19">
      <c r="A19" s="8" t="inlineStr">
        <is>
          <t>Armature INF X</t>
        </is>
      </c>
      <c r="B19" s="8" t="n"/>
      <c r="C19" s="8" t="n"/>
      <c r="D19" s="9" t="n"/>
      <c r="E19" s="9" t="n"/>
      <c r="F19" s="9" t="n"/>
      <c r="G19" s="9" t="n">
        <v>1</v>
      </c>
      <c r="H19" s="9" t="n">
        <v>6</v>
      </c>
      <c r="I19" s="9" t="n">
        <v>12</v>
      </c>
      <c r="J19" s="9">
        <f>(E18-0.05)+34*I19/1000</f>
        <v/>
      </c>
      <c r="K19" s="9">
        <f>IF($I19=6,$G19*$H19*$J19,"")</f>
        <v/>
      </c>
      <c r="L19" s="9">
        <f>IF($I19=8,$G19*$H19*$J19,"")</f>
        <v/>
      </c>
      <c r="M19" s="9">
        <f>IF($I19=12,$G19*$H19*$J19,"")</f>
        <v/>
      </c>
      <c r="N19" s="9">
        <f>IF($I19=14,$G19*$H19*$J19,"")</f>
        <v/>
      </c>
      <c r="O19" s="9">
        <f>IF($I19=16,$G19*$H19*$J19,"")</f>
        <v/>
      </c>
    </row>
    <row r="20">
      <c r="A20" s="8" t="inlineStr">
        <is>
          <t>Armature INF Y</t>
        </is>
      </c>
      <c r="B20" s="8" t="n"/>
      <c r="C20" s="8" t="n"/>
      <c r="D20" s="9" t="n"/>
      <c r="E20" s="9" t="n"/>
      <c r="F20" s="9" t="n"/>
      <c r="G20" s="9" t="n">
        <v>1</v>
      </c>
      <c r="H20" s="9" t="n">
        <v>6</v>
      </c>
      <c r="I20" s="9" t="n">
        <v>12</v>
      </c>
      <c r="J20" s="9">
        <f>(D18-0.05)+34*I20/1000</f>
        <v/>
      </c>
      <c r="K20" s="9">
        <f>IF($I20=6,$G20*$H20*$J20,"")</f>
        <v/>
      </c>
      <c r="L20" s="9">
        <f>IF($I20=8,$G20*$H20*$J20,"")</f>
        <v/>
      </c>
      <c r="M20" s="9">
        <f>IF($I20=12,$G20*$H20*$J20,"")</f>
        <v/>
      </c>
      <c r="N20" s="9">
        <f>IF($I20=14,$G20*$H20*$J20,"")</f>
        <v/>
      </c>
      <c r="O20" s="9">
        <f>IF($I20=16,$G20*$H20*$J20,"")</f>
        <v/>
      </c>
    </row>
    <row r="21">
      <c r="A21" s="8" t="inlineStr">
        <is>
          <t>S106</t>
        </is>
      </c>
      <c r="B21" s="8" t="inlineStr">
        <is>
          <t>E</t>
        </is>
      </c>
      <c r="C21" s="8" t="inlineStr">
        <is>
          <t>4</t>
        </is>
      </c>
      <c r="D21" s="9" t="n">
        <v>1</v>
      </c>
      <c r="E21" s="9" t="n">
        <v>1</v>
      </c>
      <c r="F21" s="9" t="n">
        <v>0.25</v>
      </c>
      <c r="G21" s="9" t="n"/>
      <c r="H21" s="9" t="n"/>
      <c r="I21" s="9" t="n"/>
      <c r="J21" s="9" t="n"/>
      <c r="K21" s="9">
        <f>IF($I21=6,$G21*$H21*$J21,"")</f>
        <v/>
      </c>
      <c r="L21" s="9">
        <f>IF($I21=8,$G21*$H21*$J21,"")</f>
        <v/>
      </c>
      <c r="M21" s="9">
        <f>IF($I21=12,$G21*$H21*$J21,"")</f>
        <v/>
      </c>
      <c r="N21" s="9">
        <f>IF($I21=14,$G21*$H21*$J21,"")</f>
        <v/>
      </c>
      <c r="O21" s="9">
        <f>IF($I21=16,$G21*$H21*$J21,"")</f>
        <v/>
      </c>
    </row>
    <row r="22">
      <c r="A22" s="8" t="inlineStr">
        <is>
          <t>Armature INF X</t>
        </is>
      </c>
      <c r="B22" s="8" t="n"/>
      <c r="C22" s="8" t="n"/>
      <c r="D22" s="9" t="n"/>
      <c r="E22" s="9" t="n"/>
      <c r="F22" s="9" t="n"/>
      <c r="G22" s="9" t="n">
        <v>1</v>
      </c>
      <c r="H22" s="9" t="n">
        <v>6</v>
      </c>
      <c r="I22" s="9" t="n">
        <v>12</v>
      </c>
      <c r="J22" s="9">
        <f>(E21-0.05)+34*I22/1000</f>
        <v/>
      </c>
      <c r="K22" s="9">
        <f>IF($I22=6,$G22*$H22*$J22,"")</f>
        <v/>
      </c>
      <c r="L22" s="9">
        <f>IF($I22=8,$G22*$H22*$J22,"")</f>
        <v/>
      </c>
      <c r="M22" s="9">
        <f>IF($I22=12,$G22*$H22*$J22,"")</f>
        <v/>
      </c>
      <c r="N22" s="9">
        <f>IF($I22=14,$G22*$H22*$J22,"")</f>
        <v/>
      </c>
      <c r="O22" s="9">
        <f>IF($I22=16,$G22*$H22*$J22,"")</f>
        <v/>
      </c>
    </row>
    <row r="23">
      <c r="A23" s="8" t="inlineStr">
        <is>
          <t>Armature INF Y</t>
        </is>
      </c>
      <c r="B23" s="8" t="n"/>
      <c r="C23" s="8" t="n"/>
      <c r="D23" s="9" t="n"/>
      <c r="E23" s="9" t="n"/>
      <c r="F23" s="9" t="n"/>
      <c r="G23" s="9" t="n">
        <v>1</v>
      </c>
      <c r="H23" s="9" t="n">
        <v>6</v>
      </c>
      <c r="I23" s="9" t="n">
        <v>12</v>
      </c>
      <c r="J23" s="9">
        <f>(D21-0.05)+34*I23/1000</f>
        <v/>
      </c>
      <c r="K23" s="9">
        <f>IF($I23=6,$G23*$H23*$J23,"")</f>
        <v/>
      </c>
      <c r="L23" s="9">
        <f>IF($I23=8,$G23*$H23*$J23,"")</f>
        <v/>
      </c>
      <c r="M23" s="9">
        <f>IF($I23=12,$G23*$H23*$J23,"")</f>
        <v/>
      </c>
      <c r="N23" s="9">
        <f>IF($I23=14,$G23*$H23*$J23,"")</f>
        <v/>
      </c>
      <c r="O23" s="9">
        <f>IF($I23=16,$G23*$H23*$J23,"")</f>
        <v/>
      </c>
    </row>
    <row r="25">
      <c r="A25" s="3" t="inlineStr">
        <is>
          <t>fut poteau</t>
        </is>
      </c>
    </row>
    <row r="26">
      <c r="B26" s="7" t="inlineStr">
        <is>
          <t>axe</t>
        </is>
      </c>
      <c r="C26" s="7" t="inlineStr">
        <is>
          <t>fill</t>
        </is>
      </c>
    </row>
    <row r="27">
      <c r="A27" s="8" t="inlineStr">
        <is>
          <t>P101</t>
        </is>
      </c>
      <c r="B27" s="8" t="inlineStr">
        <is>
          <t>A</t>
        </is>
      </c>
      <c r="C27" s="8" t="inlineStr">
        <is>
          <t>1</t>
        </is>
      </c>
      <c r="D27" s="9" t="n">
        <v>0.25</v>
      </c>
      <c r="E27" s="9" t="n">
        <v>0.35</v>
      </c>
      <c r="F27" s="9" t="n"/>
      <c r="G27" s="9" t="n"/>
      <c r="H27" s="9" t="n"/>
      <c r="I27" s="9" t="n"/>
      <c r="J27" s="9" t="n"/>
      <c r="K27" s="9">
        <f>IF($I27=6,$G27*$H27*$J27,"")</f>
        <v/>
      </c>
      <c r="L27" s="9">
        <f>IF($I27=8,$G27*$H27*$J27,"")</f>
        <v/>
      </c>
      <c r="M27" s="9">
        <f>IF($I27=12,$G27*$H27*$J27,"")</f>
        <v/>
      </c>
      <c r="N27" s="9">
        <f>IF($I27=14,$G27*$H27*$J27,"")</f>
        <v/>
      </c>
      <c r="O27" s="9">
        <f>IF($I27=16,$G27*$H27*$J27,"")</f>
        <v/>
      </c>
    </row>
    <row r="28">
      <c r="A28" s="8" t="inlineStr">
        <is>
          <t>ARM LONG</t>
        </is>
      </c>
      <c r="B28" s="8" t="n"/>
      <c r="C28" s="8" t="n"/>
      <c r="D28" s="9" t="n"/>
      <c r="E28" s="9" t="n"/>
      <c r="F28" s="9" t="n"/>
      <c r="G28" s="9" t="n">
        <v>6</v>
      </c>
      <c r="H28" s="9" t="n">
        <v>6</v>
      </c>
      <c r="I28" s="9" t="n">
        <v>14</v>
      </c>
      <c r="J28" s="9">
        <f>(F27-0.1-0.05)+70*I28/1000+18*I28/1000</f>
        <v/>
      </c>
      <c r="K28" s="9">
        <f>IF($I28=6,$G28*$H28*$J28,"")</f>
        <v/>
      </c>
      <c r="L28" s="9">
        <f>IF($I28=8,$G28*$H28*$J28,"")</f>
        <v/>
      </c>
      <c r="M28" s="9">
        <f>IF($I28=12,$G28*$H28*$J28,"")</f>
        <v/>
      </c>
      <c r="N28" s="9">
        <f>IF($I28=14,$G28*$H28*$J28,"")</f>
        <v/>
      </c>
      <c r="O28" s="9">
        <f>IF($I28=16,$G28*$H28*$J28,"")</f>
        <v/>
      </c>
    </row>
    <row r="29">
      <c r="A29" s="8" t="inlineStr">
        <is>
          <t>CADRE</t>
        </is>
      </c>
      <c r="B29" s="8" t="n"/>
      <c r="C29" s="8" t="n"/>
      <c r="D29" s="9" t="n"/>
      <c r="E29" s="9" t="n"/>
      <c r="F29" s="9" t="n"/>
      <c r="G29" s="9">
        <f>ROUNDUP(F27/0.15,0)+2</f>
        <v/>
      </c>
      <c r="H29" s="9">
        <f>ROUNDUP(F27/0.15,0)+2</f>
        <v/>
      </c>
      <c r="I29" s="9" t="n">
        <v>6</v>
      </c>
      <c r="J29" s="9">
        <f>(2*(D27+E27)-0.05+20.5*I29/1000)</f>
        <v/>
      </c>
      <c r="K29" s="9">
        <f>IF($I29=6,$G29*$H29*$J29,"")</f>
        <v/>
      </c>
      <c r="L29" s="9">
        <f>IF($I29=8,$G29*$H29*$J29,"")</f>
        <v/>
      </c>
      <c r="M29" s="9">
        <f>IF($I29=12,$G29*$H29*$J29,"")</f>
        <v/>
      </c>
      <c r="N29" s="9">
        <f>IF($I29=14,$G29*$H29*$J29,"")</f>
        <v/>
      </c>
      <c r="O29" s="9">
        <f>IF($I29=16,$G29*$H29*$J29,"")</f>
        <v/>
      </c>
    </row>
    <row r="30">
      <c r="A30" s="8" t="inlineStr">
        <is>
          <t>EPINGLE</t>
        </is>
      </c>
      <c r="B30" s="8" t="n"/>
      <c r="C30" s="8" t="n"/>
      <c r="D30" s="9" t="n"/>
      <c r="E30" s="9" t="n"/>
      <c r="F30" s="9" t="n"/>
      <c r="G30" s="9">
        <f>ROUNDUP(F27/0.15,0)+2</f>
        <v/>
      </c>
      <c r="H30" s="9">
        <f>ROUNDUP(F27/0.15,0)+2</f>
        <v/>
      </c>
      <c r="I30" s="9" t="n">
        <v>6</v>
      </c>
      <c r="J30" s="9">
        <f>D28-0.05+22*I30/1000</f>
        <v/>
      </c>
      <c r="K30" s="9">
        <f>IF($I30=6,$G30*$H30*$J30,"")</f>
        <v/>
      </c>
      <c r="L30" s="9">
        <f>IF($I30=8,$G30*$H30*$J30,"")</f>
        <v/>
      </c>
      <c r="M30" s="9">
        <f>IF($I30=12,$G30*$H30*$J30,"")</f>
        <v/>
      </c>
      <c r="N30" s="9">
        <f>IF($I30=14,$G30*$H30*$J30,"")</f>
        <v/>
      </c>
      <c r="O30" s="9">
        <f>IF($I30=16,$G30*$H30*$J30,"")</f>
        <v/>
      </c>
    </row>
    <row r="31">
      <c r="A31" s="8" t="inlineStr">
        <is>
          <t>P102</t>
        </is>
      </c>
      <c r="B31" s="8" t="inlineStr">
        <is>
          <t>A</t>
        </is>
      </c>
      <c r="C31" s="8" t="inlineStr">
        <is>
          <t>3</t>
        </is>
      </c>
      <c r="D31" s="9" t="n">
        <v>0.25</v>
      </c>
      <c r="E31" s="9" t="n">
        <v>0.35</v>
      </c>
      <c r="F31" s="9" t="n"/>
      <c r="G31" s="9" t="n"/>
      <c r="H31" s="9" t="n"/>
      <c r="I31" s="9" t="n"/>
      <c r="J31" s="9" t="n"/>
      <c r="K31" s="9">
        <f>IF($I31=6,$G31*$H31*$J31,"")</f>
        <v/>
      </c>
      <c r="L31" s="9">
        <f>IF($I31=8,$G31*$H31*$J31,"")</f>
        <v/>
      </c>
      <c r="M31" s="9">
        <f>IF($I31=12,$G31*$H31*$J31,"")</f>
        <v/>
      </c>
      <c r="N31" s="9">
        <f>IF($I31=14,$G31*$H31*$J31,"")</f>
        <v/>
      </c>
      <c r="O31" s="9">
        <f>IF($I31=16,$G31*$H31*$J31,"")</f>
        <v/>
      </c>
    </row>
    <row r="32">
      <c r="A32" s="8" t="inlineStr">
        <is>
          <t>ARM LONG</t>
        </is>
      </c>
      <c r="B32" s="8" t="n"/>
      <c r="C32" s="8" t="n"/>
      <c r="D32" s="9" t="n"/>
      <c r="E32" s="9" t="n"/>
      <c r="F32" s="9" t="n"/>
      <c r="G32" s="9" t="n">
        <v>6</v>
      </c>
      <c r="H32" s="9" t="n">
        <v>6</v>
      </c>
      <c r="I32" s="9" t="n">
        <v>14</v>
      </c>
      <c r="J32" s="9">
        <f>(F31-0.1-0.05)+70*I32/1000+18*I32/1000</f>
        <v/>
      </c>
      <c r="K32" s="9">
        <f>IF($I32=6,$G32*$H32*$J32,"")</f>
        <v/>
      </c>
      <c r="L32" s="9">
        <f>IF($I32=8,$G32*$H32*$J32,"")</f>
        <v/>
      </c>
      <c r="M32" s="9">
        <f>IF($I32=12,$G32*$H32*$J32,"")</f>
        <v/>
      </c>
      <c r="N32" s="9">
        <f>IF($I32=14,$G32*$H32*$J32,"")</f>
        <v/>
      </c>
      <c r="O32" s="9">
        <f>IF($I32=16,$G32*$H32*$J32,"")</f>
        <v/>
      </c>
    </row>
    <row r="33">
      <c r="A33" s="8" t="inlineStr">
        <is>
          <t>CADRE</t>
        </is>
      </c>
      <c r="B33" s="8" t="n"/>
      <c r="C33" s="8" t="n"/>
      <c r="D33" s="9" t="n"/>
      <c r="E33" s="9" t="n"/>
      <c r="F33" s="9" t="n"/>
      <c r="G33" s="9">
        <f>ROUNDUP(F31/0.15,0)+2</f>
        <v/>
      </c>
      <c r="H33" s="9">
        <f>ROUNDUP(F31/0.15,0)+2</f>
        <v/>
      </c>
      <c r="I33" s="9" t="n">
        <v>6</v>
      </c>
      <c r="J33" s="9">
        <f>(2*(D31+E31)-0.05+20.5*I33/1000)</f>
        <v/>
      </c>
      <c r="K33" s="9">
        <f>IF($I33=6,$G33*$H33*$J33,"")</f>
        <v/>
      </c>
      <c r="L33" s="9">
        <f>IF($I33=8,$G33*$H33*$J33,"")</f>
        <v/>
      </c>
      <c r="M33" s="9">
        <f>IF($I33=12,$G33*$H33*$J33,"")</f>
        <v/>
      </c>
      <c r="N33" s="9">
        <f>IF($I33=14,$G33*$H33*$J33,"")</f>
        <v/>
      </c>
      <c r="O33" s="9">
        <f>IF($I33=16,$G33*$H33*$J33,"")</f>
        <v/>
      </c>
    </row>
    <row r="34">
      <c r="A34" s="8" t="inlineStr">
        <is>
          <t>EPINGLE</t>
        </is>
      </c>
      <c r="B34" s="8" t="n"/>
      <c r="C34" s="8" t="n"/>
      <c r="D34" s="9" t="n"/>
      <c r="E34" s="9" t="n"/>
      <c r="F34" s="9" t="n"/>
      <c r="G34" s="9">
        <f>ROUNDUP(F31/0.15,0)+2</f>
        <v/>
      </c>
      <c r="H34" s="9">
        <f>ROUNDUP(F31/0.15,0)+2</f>
        <v/>
      </c>
      <c r="I34" s="9" t="n">
        <v>6</v>
      </c>
      <c r="J34" s="9">
        <f>D32-0.05+22*I34/1000</f>
        <v/>
      </c>
      <c r="K34" s="9">
        <f>IF($I34=6,$G34*$H34*$J34,"")</f>
        <v/>
      </c>
      <c r="L34" s="9">
        <f>IF($I34=8,$G34*$H34*$J34,"")</f>
        <v/>
      </c>
      <c r="M34" s="9">
        <f>IF($I34=12,$G34*$H34*$J34,"")</f>
        <v/>
      </c>
      <c r="N34" s="9">
        <f>IF($I34=14,$G34*$H34*$J34,"")</f>
        <v/>
      </c>
      <c r="O34" s="9">
        <f>IF($I34=16,$G34*$H34*$J34,"")</f>
        <v/>
      </c>
    </row>
    <row r="35">
      <c r="A35" s="8" t="inlineStr">
        <is>
          <t>P103</t>
        </is>
      </c>
      <c r="B35" s="8" t="inlineStr">
        <is>
          <t>C</t>
        </is>
      </c>
      <c r="C35" s="8" t="inlineStr">
        <is>
          <t>2</t>
        </is>
      </c>
      <c r="D35" s="9" t="n">
        <v>0.4</v>
      </c>
      <c r="E35" s="9" t="n">
        <v>0.4</v>
      </c>
      <c r="F35" s="9" t="n"/>
      <c r="G35" s="9" t="n"/>
      <c r="H35" s="9" t="n"/>
      <c r="I35" s="9" t="n"/>
      <c r="J35" s="9" t="n"/>
      <c r="K35" s="9">
        <f>IF($I35=6,$G35*$H35*$J35,"")</f>
        <v/>
      </c>
      <c r="L35" s="9">
        <f>IF($I35=8,$G35*$H35*$J35,"")</f>
        <v/>
      </c>
      <c r="M35" s="9">
        <f>IF($I35=12,$G35*$H35*$J35,"")</f>
        <v/>
      </c>
      <c r="N35" s="9">
        <f>IF($I35=14,$G35*$H35*$J35,"")</f>
        <v/>
      </c>
      <c r="O35" s="9">
        <f>IF($I35=16,$G35*$H35*$J35,"")</f>
        <v/>
      </c>
    </row>
    <row r="36">
      <c r="A36" s="8" t="inlineStr">
        <is>
          <t>ARM LONG</t>
        </is>
      </c>
      <c r="B36" s="8" t="n"/>
      <c r="C36" s="8" t="n"/>
      <c r="D36" s="9" t="n"/>
      <c r="E36" s="9" t="n"/>
      <c r="F36" s="9" t="n"/>
      <c r="G36" s="9" t="n">
        <v>8</v>
      </c>
      <c r="H36" s="9" t="n">
        <v>8</v>
      </c>
      <c r="I36" s="9" t="n">
        <v>16</v>
      </c>
      <c r="J36" s="9">
        <f>(F35-0.1-0.05)+70*I36/1000+18*I36/1000</f>
        <v/>
      </c>
      <c r="K36" s="9">
        <f>IF($I36=6,$G36*$H36*$J36,"")</f>
        <v/>
      </c>
      <c r="L36" s="9">
        <f>IF($I36=8,$G36*$H36*$J36,"")</f>
        <v/>
      </c>
      <c r="M36" s="9">
        <f>IF($I36=12,$G36*$H36*$J36,"")</f>
        <v/>
      </c>
      <c r="N36" s="9">
        <f>IF($I36=14,$G36*$H36*$J36,"")</f>
        <v/>
      </c>
      <c r="O36" s="9">
        <f>IF($I36=16,$G36*$H36*$J36,"")</f>
        <v/>
      </c>
    </row>
    <row r="37">
      <c r="A37" s="8" t="inlineStr">
        <is>
          <t>CADRE</t>
        </is>
      </c>
      <c r="B37" s="8" t="n"/>
      <c r="C37" s="8" t="n"/>
      <c r="D37" s="9" t="n"/>
      <c r="E37" s="9" t="n"/>
      <c r="F37" s="9" t="n"/>
      <c r="G37" s="9">
        <f>ROUNDUP(F35/0.15,0)+2</f>
        <v/>
      </c>
      <c r="H37" s="9">
        <f>ROUNDUP(F35/0.15,0)+2</f>
        <v/>
      </c>
      <c r="I37" s="9" t="n">
        <v>8</v>
      </c>
      <c r="J37" s="9">
        <f>(2*(D35+E35)-0.05+20.5*I37/1000)</f>
        <v/>
      </c>
      <c r="K37" s="9">
        <f>IF($I37=6,$G37*$H37*$J37,"")</f>
        <v/>
      </c>
      <c r="L37" s="9">
        <f>IF($I37=8,$G37*$H37*$J37,"")</f>
        <v/>
      </c>
      <c r="M37" s="9">
        <f>IF($I37=12,$G37*$H37*$J37,"")</f>
        <v/>
      </c>
      <c r="N37" s="9">
        <f>IF($I37=14,$G37*$H37*$J37,"")</f>
        <v/>
      </c>
      <c r="O37" s="9">
        <f>IF($I37=16,$G37*$H37*$J37,"")</f>
        <v/>
      </c>
    </row>
    <row r="38">
      <c r="A38" s="8" t="inlineStr">
        <is>
          <t>EPINGLE</t>
        </is>
      </c>
      <c r="B38" s="8" t="n"/>
      <c r="C38" s="8" t="n"/>
      <c r="D38" s="9" t="n"/>
      <c r="E38" s="9" t="n"/>
      <c r="F38" s="9" t="n"/>
      <c r="G38" s="9">
        <f>ROUNDUP(F35/0.15,0)+2</f>
        <v/>
      </c>
      <c r="H38" s="9">
        <f>ROUNDUP(F35/0.15,0)+2</f>
        <v/>
      </c>
      <c r="I38" s="9" t="n">
        <v>8</v>
      </c>
      <c r="J38" s="9">
        <f>D36-0.05+22*I38/1000</f>
        <v/>
      </c>
      <c r="K38" s="9">
        <f>IF($I38=6,$G38*$H38*$J38,"")</f>
        <v/>
      </c>
      <c r="L38" s="9">
        <f>IF($I38=8,$G38*$H38*$J38,"")</f>
        <v/>
      </c>
      <c r="M38" s="9">
        <f>IF($I38=12,$G38*$H38*$J38,"")</f>
        <v/>
      </c>
      <c r="N38" s="9">
        <f>IF($I38=14,$G38*$H38*$J38,"")</f>
        <v/>
      </c>
      <c r="O38" s="9">
        <f>IF($I38=16,$G38*$H38*$J38,"")</f>
        <v/>
      </c>
    </row>
    <row r="39">
      <c r="A39" s="8" t="inlineStr">
        <is>
          <t>P104</t>
        </is>
      </c>
      <c r="B39" s="8" t="inlineStr">
        <is>
          <t>C</t>
        </is>
      </c>
      <c r="C39" s="8" t="inlineStr">
        <is>
          <t>5</t>
        </is>
      </c>
      <c r="D39" s="9" t="n">
        <v>0.4</v>
      </c>
      <c r="E39" s="9" t="n">
        <v>0.4</v>
      </c>
      <c r="F39" s="9" t="n"/>
      <c r="G39" s="9" t="n"/>
      <c r="H39" s="9" t="n"/>
      <c r="I39" s="9" t="n"/>
      <c r="J39" s="9" t="n"/>
      <c r="K39" s="9">
        <f>IF($I39=6,$G39*$H39*$J39,"")</f>
        <v/>
      </c>
      <c r="L39" s="9">
        <f>IF($I39=8,$G39*$H39*$J39,"")</f>
        <v/>
      </c>
      <c r="M39" s="9">
        <f>IF($I39=12,$G39*$H39*$J39,"")</f>
        <v/>
      </c>
      <c r="N39" s="9">
        <f>IF($I39=14,$G39*$H39*$J39,"")</f>
        <v/>
      </c>
      <c r="O39" s="9">
        <f>IF($I39=16,$G39*$H39*$J39,"")</f>
        <v/>
      </c>
    </row>
    <row r="40">
      <c r="A40" s="8" t="inlineStr">
        <is>
          <t>ARM LONG</t>
        </is>
      </c>
      <c r="B40" s="8" t="n"/>
      <c r="C40" s="8" t="n"/>
      <c r="D40" s="9" t="n"/>
      <c r="E40" s="9" t="n"/>
      <c r="F40" s="9" t="n"/>
      <c r="G40" s="9" t="n">
        <v>8</v>
      </c>
      <c r="H40" s="9" t="n">
        <v>8</v>
      </c>
      <c r="I40" s="9" t="n">
        <v>16</v>
      </c>
      <c r="J40" s="9">
        <f>(F39-0.1-0.05)+70*I40/1000+18*I40/1000</f>
        <v/>
      </c>
      <c r="K40" s="9">
        <f>IF($I40=6,$G40*$H40*$J40,"")</f>
        <v/>
      </c>
      <c r="L40" s="9">
        <f>IF($I40=8,$G40*$H40*$J40,"")</f>
        <v/>
      </c>
      <c r="M40" s="9">
        <f>IF($I40=12,$G40*$H40*$J40,"")</f>
        <v/>
      </c>
      <c r="N40" s="9">
        <f>IF($I40=14,$G40*$H40*$J40,"")</f>
        <v/>
      </c>
      <c r="O40" s="9">
        <f>IF($I40=16,$G40*$H40*$J40,"")</f>
        <v/>
      </c>
    </row>
    <row r="41">
      <c r="A41" s="8" t="inlineStr">
        <is>
          <t>CADRE</t>
        </is>
      </c>
      <c r="B41" s="8" t="n"/>
      <c r="C41" s="8" t="n"/>
      <c r="D41" s="9" t="n"/>
      <c r="E41" s="9" t="n"/>
      <c r="F41" s="9" t="n"/>
      <c r="G41" s="9">
        <f>ROUNDUP(F39/0.15,0)+2</f>
        <v/>
      </c>
      <c r="H41" s="9">
        <f>ROUNDUP(F39/0.15,0)+2</f>
        <v/>
      </c>
      <c r="I41" s="9" t="n">
        <v>8</v>
      </c>
      <c r="J41" s="9">
        <f>(2*(D39+E39)-0.05+20.5*I41/1000)</f>
        <v/>
      </c>
      <c r="K41" s="9">
        <f>IF($I41=6,$G41*$H41*$J41,"")</f>
        <v/>
      </c>
      <c r="L41" s="9">
        <f>IF($I41=8,$G41*$H41*$J41,"")</f>
        <v/>
      </c>
      <c r="M41" s="9">
        <f>IF($I41=12,$G41*$H41*$J41,"")</f>
        <v/>
      </c>
      <c r="N41" s="9">
        <f>IF($I41=14,$G41*$H41*$J41,"")</f>
        <v/>
      </c>
      <c r="O41" s="9">
        <f>IF($I41=16,$G41*$H41*$J41,"")</f>
        <v/>
      </c>
    </row>
    <row r="42">
      <c r="A42" s="8" t="inlineStr">
        <is>
          <t>EPINGLE</t>
        </is>
      </c>
      <c r="B42" s="8" t="n"/>
      <c r="C42" s="8" t="n"/>
      <c r="D42" s="9" t="n"/>
      <c r="E42" s="9" t="n"/>
      <c r="F42" s="9" t="n"/>
      <c r="G42" s="9">
        <f>ROUNDUP(F39/0.15,0)+2</f>
        <v/>
      </c>
      <c r="H42" s="9">
        <f>ROUNDUP(F39/0.15,0)+2</f>
        <v/>
      </c>
      <c r="I42" s="9" t="n">
        <v>8</v>
      </c>
      <c r="J42" s="9">
        <f>D40-0.05+22*I42/1000</f>
        <v/>
      </c>
      <c r="K42" s="9">
        <f>IF($I42=6,$G42*$H42*$J42,"")</f>
        <v/>
      </c>
      <c r="L42" s="9">
        <f>IF($I42=8,$G42*$H42*$J42,"")</f>
        <v/>
      </c>
      <c r="M42" s="9">
        <f>IF($I42=12,$G42*$H42*$J42,"")</f>
        <v/>
      </c>
      <c r="N42" s="9">
        <f>IF($I42=14,$G42*$H42*$J42,"")</f>
        <v/>
      </c>
      <c r="O42" s="9">
        <f>IF($I42=16,$G42*$H42*$J42,"")</f>
        <v/>
      </c>
    </row>
    <row r="44">
      <c r="A44" s="3" t="inlineStr">
        <is>
          <t>poutre</t>
        </is>
      </c>
    </row>
    <row r="45">
      <c r="A45" s="8" t="inlineStr">
        <is>
          <t>PO1</t>
        </is>
      </c>
      <c r="B45" s="8" t="inlineStr">
        <is>
          <t>A</t>
        </is>
      </c>
      <c r="C45" s="8" t="n"/>
      <c r="D45" s="9" t="n">
        <v>0.2</v>
      </c>
      <c r="E45" s="9" t="n">
        <v>0.4</v>
      </c>
      <c r="F45" s="9" t="n">
        <v>4.5</v>
      </c>
      <c r="G45" s="9" t="n"/>
      <c r="H45" s="9" t="n"/>
      <c r="I45" s="9" t="n"/>
      <c r="J45" s="9" t="n"/>
      <c r="K45" s="9">
        <f>IF($I45=6,$G45*$H45*$J45,"")</f>
        <v/>
      </c>
      <c r="L45" s="9">
        <f>IF($I45=8,$G45*$H45*$J45,"")</f>
        <v/>
      </c>
      <c r="M45" s="9">
        <f>IF($I45=12,$G45*$H45*$J45,"")</f>
        <v/>
      </c>
      <c r="N45" s="9">
        <f>IF($I45=14,$G45*$H45*$J45,"")</f>
        <v/>
      </c>
      <c r="O45" s="9">
        <f>IF($I45=16,$G45*$H45*$J45,"")</f>
        <v/>
      </c>
    </row>
    <row r="46">
      <c r="A46" s="8" t="inlineStr">
        <is>
          <t>Armature INF</t>
        </is>
      </c>
      <c r="B46" s="8" t="n"/>
      <c r="C46" s="8" t="n"/>
      <c r="D46" s="9" t="n"/>
      <c r="E46" s="9" t="n"/>
      <c r="F46" s="9" t="n"/>
      <c r="G46" s="9" t="n">
        <v>1</v>
      </c>
      <c r="H46" s="9" t="n">
        <v>3</v>
      </c>
      <c r="I46" s="9" t="n">
        <v>14</v>
      </c>
      <c r="J46" s="9">
        <f>(F45+2*34*I46/1000)</f>
        <v/>
      </c>
      <c r="K46" s="9">
        <f>IF($I46=6,$G46*$H46*$J46,"")</f>
        <v/>
      </c>
      <c r="L46" s="9">
        <f>IF($I46=8,$G46*$H46*$J46,"")</f>
        <v/>
      </c>
      <c r="M46" s="9">
        <f>IF($I46=12,$G46*$H46*$J46,"")</f>
        <v/>
      </c>
      <c r="N46" s="9">
        <f>IF($I46=14,$G46*$H46*$J46,"")</f>
        <v/>
      </c>
      <c r="O46" s="9">
        <f>IF($I46=16,$G46*$H46*$J46,"")</f>
        <v/>
      </c>
    </row>
    <row r="47">
      <c r="A47" s="8" t="inlineStr">
        <is>
          <t>Armature SUP</t>
        </is>
      </c>
      <c r="B47" s="8" t="n"/>
      <c r="C47" s="8" t="n"/>
      <c r="D47" s="9" t="n"/>
      <c r="E47" s="9" t="n"/>
      <c r="F47" s="9" t="n"/>
      <c r="G47" s="9" t="n">
        <v>1</v>
      </c>
      <c r="H47" s="9" t="n">
        <v>2</v>
      </c>
      <c r="I47" s="9" t="n">
        <v>12</v>
      </c>
      <c r="J47" s="9">
        <f>(F45+2*34*I47/1000)</f>
        <v/>
      </c>
      <c r="K47" s="9">
        <f>IF($I47=6,$G47*$H47*$J47,"")</f>
        <v/>
      </c>
      <c r="L47" s="9">
        <f>IF($I47=8,$G47*$H47*$J47,"")</f>
        <v/>
      </c>
      <c r="M47" s="9">
        <f>IF($I47=12,$G47*$H47*$J47,"")</f>
        <v/>
      </c>
      <c r="N47" s="9">
        <f>IF($I47=14,$G47*$H47*$J47,"")</f>
        <v/>
      </c>
      <c r="O47" s="9">
        <f>IF($I47=16,$G47*$H47*$J47,"")</f>
        <v/>
      </c>
    </row>
    <row r="48">
      <c r="A48" s="8" t="inlineStr">
        <is>
          <t>CADRE</t>
        </is>
      </c>
      <c r="B48" s="8" t="n"/>
      <c r="C48" s="8" t="n"/>
      <c r="D48" s="9" t="n"/>
      <c r="E48" s="9" t="n"/>
      <c r="F48" s="9" t="n"/>
      <c r="G48" s="9" t="n"/>
      <c r="H48" s="9">
        <f>ROUNDUP(F45/0.18,0)+2</f>
        <v/>
      </c>
      <c r="I48" s="9" t="n">
        <v>6</v>
      </c>
      <c r="J48" s="9">
        <f>(2*(D45+E45)-0.05+20.5*I48/1000)</f>
        <v/>
      </c>
      <c r="K48" s="9">
        <f>IF($I48=6,$G48*$H48*$J48,"")</f>
        <v/>
      </c>
      <c r="L48" s="9">
        <f>IF($I48=8,$G48*$H48*$J48,"")</f>
        <v/>
      </c>
      <c r="M48" s="9">
        <f>IF($I48=12,$G48*$H48*$J48,"")</f>
        <v/>
      </c>
      <c r="N48" s="9">
        <f>IF($I48=14,$G48*$H48*$J48,"")</f>
        <v/>
      </c>
      <c r="O48" s="9">
        <f>IF($I48=16,$G48*$H48*$J48,"")</f>
        <v/>
      </c>
    </row>
    <row r="49">
      <c r="A49" s="8" t="inlineStr">
        <is>
          <t>PO2</t>
        </is>
      </c>
      <c r="B49" s="8" t="inlineStr">
        <is>
          <t>C</t>
        </is>
      </c>
      <c r="C49" s="8" t="n"/>
      <c r="D49" s="9" t="n">
        <v>0.2</v>
      </c>
      <c r="E49" s="9" t="n">
        <v>0.4</v>
      </c>
      <c r="F49" s="9" t="n">
        <v>6</v>
      </c>
      <c r="G49" s="9" t="n"/>
      <c r="H49" s="9" t="n"/>
      <c r="I49" s="9" t="n"/>
      <c r="J49" s="9" t="n"/>
      <c r="K49" s="9">
        <f>IF($I49=6,$G49*$H49*$J49,"")</f>
        <v/>
      </c>
      <c r="L49" s="9">
        <f>IF($I49=8,$G49*$H49*$J49,"")</f>
        <v/>
      </c>
      <c r="M49" s="9">
        <f>IF($I49=12,$G49*$H49*$J49,"")</f>
        <v/>
      </c>
      <c r="N49" s="9">
        <f>IF($I49=14,$G49*$H49*$J49,"")</f>
        <v/>
      </c>
      <c r="O49" s="9">
        <f>IF($I49=16,$G49*$H49*$J49,"")</f>
        <v/>
      </c>
    </row>
    <row r="50">
      <c r="A50" s="8" t="inlineStr">
        <is>
          <t>Armature INF</t>
        </is>
      </c>
      <c r="B50" s="8" t="n"/>
      <c r="C50" s="8" t="n"/>
      <c r="D50" s="9" t="n"/>
      <c r="E50" s="9" t="n"/>
      <c r="F50" s="9" t="n"/>
      <c r="G50" s="9" t="n">
        <v>1</v>
      </c>
      <c r="H50" s="9" t="n">
        <v>3</v>
      </c>
      <c r="I50" s="9" t="n">
        <v>14</v>
      </c>
      <c r="J50" s="9">
        <f>(F49+2*34*I50/1000)</f>
        <v/>
      </c>
      <c r="K50" s="9">
        <f>IF($I50=6,$G50*$H50*$J50,"")</f>
        <v/>
      </c>
      <c r="L50" s="9">
        <f>IF($I50=8,$G50*$H50*$J50,"")</f>
        <v/>
      </c>
      <c r="M50" s="9">
        <f>IF($I50=12,$G50*$H50*$J50,"")</f>
        <v/>
      </c>
      <c r="N50" s="9">
        <f>IF($I50=14,$G50*$H50*$J50,"")</f>
        <v/>
      </c>
      <c r="O50" s="9">
        <f>IF($I50=16,$G50*$H50*$J50,"")</f>
        <v/>
      </c>
    </row>
    <row r="51">
      <c r="A51" s="8" t="inlineStr">
        <is>
          <t>Armature SUP</t>
        </is>
      </c>
      <c r="B51" s="8" t="n"/>
      <c r="C51" s="8" t="n"/>
      <c r="D51" s="9" t="n"/>
      <c r="E51" s="9" t="n"/>
      <c r="F51" s="9" t="n"/>
      <c r="G51" s="9" t="n">
        <v>1</v>
      </c>
      <c r="H51" s="9" t="n">
        <v>2</v>
      </c>
      <c r="I51" s="9" t="n">
        <v>12</v>
      </c>
      <c r="J51" s="9">
        <f>(F49+2*34*I51/1000)</f>
        <v/>
      </c>
      <c r="K51" s="9">
        <f>IF($I51=6,$G51*$H51*$J51,"")</f>
        <v/>
      </c>
      <c r="L51" s="9">
        <f>IF($I51=8,$G51*$H51*$J51,"")</f>
        <v/>
      </c>
      <c r="M51" s="9">
        <f>IF($I51=12,$G51*$H51*$J51,"")</f>
        <v/>
      </c>
      <c r="N51" s="9">
        <f>IF($I51=14,$G51*$H51*$J51,"")</f>
        <v/>
      </c>
      <c r="O51" s="9">
        <f>IF($I51=16,$G51*$H51*$J51,"")</f>
        <v/>
      </c>
    </row>
    <row r="52">
      <c r="A52" s="8" t="inlineStr">
        <is>
          <t>CADRE</t>
        </is>
      </c>
      <c r="B52" s="8" t="n"/>
      <c r="C52" s="8" t="n"/>
      <c r="D52" s="9" t="n"/>
      <c r="E52" s="9" t="n"/>
      <c r="F52" s="9" t="n"/>
      <c r="G52" s="9" t="n"/>
      <c r="H52" s="9">
        <f>ROUNDUP(F49/0.18,0)+2</f>
        <v/>
      </c>
      <c r="I52" s="9" t="n">
        <v>6</v>
      </c>
      <c r="J52" s="9">
        <f>(2*(D49+E49)-0.05+20.5*I52/1000)</f>
        <v/>
      </c>
      <c r="K52" s="9">
        <f>IF($I52=6,$G52*$H52*$J52,"")</f>
        <v/>
      </c>
      <c r="L52" s="9">
        <f>IF($I52=8,$G52*$H52*$J52,"")</f>
        <v/>
      </c>
      <c r="M52" s="9">
        <f>IF($I52=12,$G52*$H52*$J52,"")</f>
        <v/>
      </c>
      <c r="N52" s="9">
        <f>IF($I52=14,$G52*$H52*$J52,"")</f>
        <v/>
      </c>
      <c r="O52" s="9">
        <f>IF($I52=16,$G52*$H52*$J52,"")</f>
        <v/>
      </c>
    </row>
    <row r="53">
      <c r="A53" s="8" t="inlineStr">
        <is>
          <t>PO3</t>
        </is>
      </c>
      <c r="B53" s="8" t="inlineStr">
        <is>
          <t>E</t>
        </is>
      </c>
      <c r="C53" s="8" t="n"/>
      <c r="D53" s="9" t="n">
        <v>0.3</v>
      </c>
      <c r="E53" s="9" t="n">
        <v>0.6</v>
      </c>
      <c r="F53" s="9" t="n">
        <v>5.2</v>
      </c>
      <c r="G53" s="9" t="n"/>
      <c r="H53" s="9" t="n"/>
      <c r="I53" s="9" t="n"/>
      <c r="J53" s="9" t="n"/>
      <c r="K53" s="9">
        <f>IF($I53=6,$G53*$H53*$J53,"")</f>
        <v/>
      </c>
      <c r="L53" s="9">
        <f>IF($I53=8,$G53*$H53*$J53,"")</f>
        <v/>
      </c>
      <c r="M53" s="9">
        <f>IF($I53=12,$G53*$H53*$J53,"")</f>
        <v/>
      </c>
      <c r="N53" s="9">
        <f>IF($I53=14,$G53*$H53*$J53,"")</f>
        <v/>
      </c>
      <c r="O53" s="9">
        <f>IF($I53=16,$G53*$H53*$J53,"")</f>
        <v/>
      </c>
    </row>
    <row r="54">
      <c r="A54" s="8" t="inlineStr">
        <is>
          <t>Armature INF</t>
        </is>
      </c>
      <c r="B54" s="8" t="n"/>
      <c r="C54" s="8" t="n"/>
      <c r="D54" s="9" t="n"/>
      <c r="E54" s="9" t="n"/>
      <c r="F54" s="9" t="n"/>
      <c r="G54" s="9" t="n">
        <v>1</v>
      </c>
      <c r="H54" s="9" t="n">
        <v>4</v>
      </c>
      <c r="I54" s="9" t="n">
        <v>16</v>
      </c>
      <c r="J54" s="9">
        <f>(F53+2*34*I54/1000)</f>
        <v/>
      </c>
      <c r="K54" s="9">
        <f>IF($I54=6,$G54*$H54*$J54,"")</f>
        <v/>
      </c>
      <c r="L54" s="9">
        <f>IF($I54=8,$G54*$H54*$J54,"")</f>
        <v/>
      </c>
      <c r="M54" s="9">
        <f>IF($I54=12,$G54*$H54*$J54,"")</f>
        <v/>
      </c>
      <c r="N54" s="9">
        <f>IF($I54=14,$G54*$H54*$J54,"")</f>
        <v/>
      </c>
      <c r="O54" s="9">
        <f>IF($I54=16,$G54*$H54*$J54,"")</f>
        <v/>
      </c>
    </row>
    <row r="55">
      <c r="A55" s="8" t="inlineStr">
        <is>
          <t>Armature SUP</t>
        </is>
      </c>
      <c r="B55" s="8" t="n"/>
      <c r="C55" s="8" t="n"/>
      <c r="D55" s="9" t="n"/>
      <c r="E55" s="9" t="n"/>
      <c r="F55" s="9" t="n"/>
      <c r="G55" s="9" t="n">
        <v>1</v>
      </c>
      <c r="H55" s="9" t="n">
        <v>3</v>
      </c>
      <c r="I55" s="9" t="n">
        <v>14</v>
      </c>
      <c r="J55" s="9">
        <f>(F53+2*34*I55/1000)</f>
        <v/>
      </c>
      <c r="K55" s="9">
        <f>IF($I55=6,$G55*$H55*$J55,"")</f>
        <v/>
      </c>
      <c r="L55" s="9">
        <f>IF($I55=8,$G55*$H55*$J55,"")</f>
        <v/>
      </c>
      <c r="M55" s="9">
        <f>IF($I55=12,$G55*$H55*$J55,"")</f>
        <v/>
      </c>
      <c r="N55" s="9">
        <f>IF($I55=14,$G55*$H55*$J55,"")</f>
        <v/>
      </c>
      <c r="O55" s="9">
        <f>IF($I55=16,$G55*$H55*$J55,"")</f>
        <v/>
      </c>
    </row>
    <row r="56">
      <c r="A56" s="8" t="inlineStr">
        <is>
          <t>CADRE</t>
        </is>
      </c>
      <c r="B56" s="8" t="n"/>
      <c r="C56" s="8" t="n"/>
      <c r="D56" s="9" t="n"/>
      <c r="E56" s="9" t="n"/>
      <c r="F56" s="9" t="n"/>
      <c r="G56" s="9" t="n"/>
      <c r="H56" s="9">
        <f>ROUNDUP(F53/0.15,0)+2</f>
        <v/>
      </c>
      <c r="I56" s="9" t="n">
        <v>8</v>
      </c>
      <c r="J56" s="9">
        <f>(2*(D53+E53)-0.05+20.5*I56/1000)</f>
        <v/>
      </c>
      <c r="K56" s="9">
        <f>IF($I56=6,$G56*$H56*$J56,"")</f>
        <v/>
      </c>
      <c r="L56" s="9">
        <f>IF($I56=8,$G56*$H56*$J56,"")</f>
        <v/>
      </c>
      <c r="M56" s="9">
        <f>IF($I56=12,$G56*$H56*$J56,"")</f>
        <v/>
      </c>
      <c r="N56" s="9">
        <f>IF($I56=14,$G56*$H56*$J56,"")</f>
        <v/>
      </c>
      <c r="O56" s="9">
        <f>IF($I56=16,$G56*$H56*$J56,"")</f>
        <v/>
      </c>
    </row>
    <row r="58">
      <c r="A58" s="10" t="inlineStr">
        <is>
          <t>LONGUEUR TOTALE</t>
        </is>
      </c>
      <c r="B58" s="10" t="n"/>
      <c r="C58" s="10" t="n"/>
      <c r="D58" s="11" t="n"/>
      <c r="E58" s="11" t="n"/>
      <c r="F58" s="11" t="n"/>
      <c r="G58" s="11" t="n"/>
      <c r="H58" s="11" t="n"/>
      <c r="I58" s="11" t="n"/>
      <c r="J58" s="11" t="n"/>
      <c r="K58" s="11">
        <f>SUM(K4:K57)</f>
        <v/>
      </c>
      <c r="L58" s="11">
        <f>SUM(L4:L57)</f>
        <v/>
      </c>
      <c r="M58" s="11">
        <f>SUM(M4:M57)</f>
        <v/>
      </c>
      <c r="N58" s="11">
        <f>SUM(N4:N57)</f>
        <v/>
      </c>
      <c r="O58" s="11">
        <f>SUM(O4:O57)</f>
        <v/>
      </c>
    </row>
    <row r="59">
      <c r="A59" s="10" t="inlineStr">
        <is>
          <t>POIDS / ML (kg/m)</t>
        </is>
      </c>
      <c r="B59" s="10" t="n"/>
      <c r="C59" s="10" t="n"/>
      <c r="D59" s="11" t="n"/>
      <c r="E59" s="11" t="n"/>
      <c r="F59" s="11" t="n"/>
      <c r="G59" s="11" t="n"/>
      <c r="H59" s="11" t="n"/>
      <c r="I59" s="11" t="n"/>
      <c r="J59" s="11" t="n"/>
      <c r="K59" s="11">
        <f>6*6/162</f>
        <v/>
      </c>
      <c r="L59" s="11">
        <f>8*8/162</f>
        <v/>
      </c>
      <c r="M59" s="11">
        <f>12*12/162</f>
        <v/>
      </c>
      <c r="N59" s="11">
        <f>14*14/162</f>
        <v/>
      </c>
      <c r="O59" s="11">
        <f>16*16/162</f>
        <v/>
      </c>
    </row>
    <row r="60">
      <c r="A60" s="10" t="inlineStr">
        <is>
          <t>POIDS PARTIELS (kg)</t>
        </is>
      </c>
      <c r="B60" s="10" t="n"/>
      <c r="C60" s="10" t="n"/>
      <c r="D60" s="11" t="n"/>
      <c r="E60" s="11" t="n"/>
      <c r="F60" s="11" t="n"/>
      <c r="G60" s="11" t="n"/>
      <c r="H60" s="11" t="n"/>
      <c r="I60" s="11" t="n"/>
      <c r="J60" s="11" t="n"/>
      <c r="K60" s="11">
        <f>K58*K59</f>
        <v/>
      </c>
      <c r="L60" s="11">
        <f>L58*L59</f>
        <v/>
      </c>
      <c r="M60" s="11">
        <f>M58*M59</f>
        <v/>
      </c>
      <c r="N60" s="11">
        <f>N58*N59</f>
        <v/>
      </c>
      <c r="O60" s="11">
        <f>O58*O59</f>
        <v/>
      </c>
    </row>
    <row r="61">
      <c r="A61" s="10" t="inlineStr">
        <is>
          <t>POIDS TOTAL (KG)</t>
        </is>
      </c>
      <c r="B61" s="10" t="n"/>
      <c r="C61" s="10" t="n"/>
      <c r="D61" s="11" t="n"/>
      <c r="E61" s="11" t="n"/>
      <c r="F61" s="11" t="n"/>
      <c r="G61" s="11" t="n"/>
      <c r="H61" s="11" t="n"/>
      <c r="I61" s="11" t="n"/>
      <c r="J61" s="11">
        <f>SUM(K60:O60)</f>
        <v/>
      </c>
      <c r="K61" s="11" t="n"/>
      <c r="L61" s="11" t="n"/>
      <c r="M61" s="11" t="n"/>
      <c r="N61" s="11" t="n"/>
      <c r="O61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2026-10-26T19:32:31Z</dcterms:created>
  <dcterms:modified xmlns:dcterms="http://purl.org/dc/terms/" xmlns:xsi="http://www.w3.org/2001/XMLSchema-instance" xsi:type="dcterms:W3CDTF">2026-10-26T19:32:31Z</dcterms:modified>
</cp:coreProperties>
</file>